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rashworthy operating inputs" sheetId="1" r:id="rId1"/>
    <sheet name="Plan pricing and repair usage" sheetId="2" r:id="rId2"/>
    <sheet name="Hosting start timing" sheetId="3" r:id="rId3"/>
    <sheet name="Export note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###;(#,##0.###)"/>
    <numFmt numFmtId="165" formatCode="0%"/>
    <numFmt numFmtId="166" formatCode="&quot;$&quot;#,##0.00;(&quot;$&quot;#,##0.00)"/>
    <numFmt numFmtId="167" formatCode="&quot;$&quot;#,##0.000;(&quot;$&quot;#,##0.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Crashworthy operating inputs</t>
        </is>
      </c>
    </row>
    <row r="2" ht="20" customHeight="1">
      <c r="A2" t="inlineStr" s="2">
        <is>
          <t xml:space="preserve">Crashworthy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CW Launch month</t>
        </is>
      </c>
      <c r="B5" s="6">
        <f>3</f>
        <v>3</v>
      </c>
    </row>
    <row r="6">
      <c r="A6" t="inlineStr" s="7">
        <is>
          <t xml:space="preserve">CW Initial agents</t>
        </is>
      </c>
      <c r="B6" s="8">
        <f>5</f>
        <v>5</v>
      </c>
    </row>
    <row r="7">
      <c r="A7" t="inlineStr" s="7">
        <is>
          <t xml:space="preserve">CW Monthly net growth</t>
        </is>
      </c>
      <c r="B7" s="9">
        <f>0.3</f>
        <v>0.3</v>
      </c>
    </row>
    <row r="8">
      <c r="A8" t="inlineStr" s="7">
        <is>
          <t xml:space="preserve">CW Hosting monthly</t>
        </is>
      </c>
      <c r="B8" s="8">
        <f>50</f>
        <v>50</v>
      </c>
    </row>
    <row r="9">
      <c r="A9" t="inlineStr" s="7">
        <is>
          <t xml:space="preserve">CW Opening cash</t>
        </is>
      </c>
      <c r="B9" s="8">
        <f>0</f>
        <v>0</v>
      </c>
    </row>
    <row r="10">
      <c r="A10" t="inlineStr" s="7">
        <is>
          <t xml:space="preserve">CW Cheap re-test cost</t>
        </is>
      </c>
      <c r="B10" s="8">
        <f>0.019</f>
        <v>0.019</v>
      </c>
    </row>
    <row r="11">
      <c r="A11" t="inlineStr" s="7">
        <is>
          <t xml:space="preserve">CW Larger re-test cost</t>
        </is>
      </c>
      <c r="B11" s="8">
        <f>0.36</f>
        <v>0.36</v>
      </c>
    </row>
    <row r="12">
      <c r="A12" t="inlineStr" s="7">
        <is>
          <t xml:space="preserve">CW Larger model share</t>
        </is>
      </c>
      <c r="B12" s="9">
        <f>0</f>
        <v>0</v>
      </c>
    </row>
    <row r="13">
      <c r="A13" t="inlineStr" s="7">
        <is>
          <t xml:space="preserve">CW Certification cost</t>
        </is>
      </c>
      <c r="B13" s="8">
        <f>0.058</f>
        <v>0.058</v>
      </c>
    </row>
    <row r="14">
      <c r="A14" t="inlineStr" s="7">
        <is>
          <t xml:space="preserve">CW Repair cost</t>
        </is>
      </c>
      <c r="B14" s="8">
        <f>1.38</f>
        <v>1.38</v>
      </c>
    </row>
    <row r="15">
      <c r="A15" t="inlineStr" s="7">
        <is>
          <t xml:space="preserve">CW Re-tests monthly</t>
        </is>
      </c>
      <c r="B15" s="8">
        <f>4.333333333333333</f>
        <v>4.333333333333333</v>
      </c>
    </row>
    <row r="16">
      <c r="A16" t="inlineStr" s="7">
        <is>
          <t xml:space="preserve">CW Certificates monthly</t>
        </is>
      </c>
      <c r="B16" s="8">
        <f>1</f>
        <v>1</v>
      </c>
    </row>
    <row r="17">
      <c r="A17" t="inlineStr" s="5">
        <is>
          <t xml:space="preserve">CW Plan month</t>
        </is>
      </c>
      <c r="B17" s="6">
        <v>1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F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</cols>
  <sheetData>
    <row r="1" ht="32" customHeight="1">
      <c r="A1" t="inlineStr" s="1">
        <is>
          <t xml:space="preserve">Plan pricing and repair usage</t>
        </is>
      </c>
    </row>
    <row r="2" ht="20" customHeight="1">
      <c r="A2" t="inlineStr" s="2">
        <is>
          <t xml:space="preserve">Crashworthy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Agent mix</t>
        </is>
      </c>
      <c r="D4" t="inlineStr" s="4">
        <is>
          <t xml:space="preserve">Repair sessions monthly</t>
        </is>
      </c>
      <c r="E4" t="inlineStr" s="4">
        <is>
          <t xml:space="preserve">Delivery cost per agent</t>
        </is>
      </c>
      <c r="F4" t="inlineStr" s="4">
        <is>
          <t xml:space="preserve">Gross profit per agent</t>
        </is>
      </c>
    </row>
    <row r="5">
      <c r="A5" t="inlineStr" s="5">
        <is>
          <t xml:space="preserve">Starter</t>
        </is>
      </c>
      <c r="B5" s="10">
        <f>49</f>
        <v>49</v>
      </c>
      <c r="C5" s="11">
        <f>0.7</f>
        <v>0.7</v>
      </c>
      <c r="D5" s="6">
        <f>0</f>
        <v>0</v>
      </c>
      <c r="E5" s="12">
        <f>'Crashworthy operating inputs'!B15*('Crashworthy operating inputs'!B10*(1-'Crashworthy operating inputs'!B12)+'Crashworthy operating inputs'!B11*'Crashworthy operating inputs'!B12)+'Crashworthy operating inputs'!B16*'Crashworthy operating inputs'!B13+'Plan pricing and repair usage'!D5*'Crashworthy operating inputs'!B14</f>
        <v>0.14033333333333334</v>
      </c>
      <c r="F5" s="10">
        <f>'Plan pricing and repair usage'!B5-'Plan pricing and repair usage'!E5</f>
        <v>48.85966666666667</v>
      </c>
    </row>
    <row r="6">
      <c r="A6" t="inlineStr" s="5">
        <is>
          <t xml:space="preserve">Pro</t>
        </is>
      </c>
      <c r="B6" s="10">
        <f>199</f>
        <v>199</v>
      </c>
      <c r="C6" s="11">
        <f>0.3</f>
        <v>0.3</v>
      </c>
      <c r="D6" s="6">
        <f>2</f>
        <v>2</v>
      </c>
      <c r="E6" s="12">
        <f>'Crashworthy operating inputs'!B15*('Crashworthy operating inputs'!B10*(1-'Crashworthy operating inputs'!B12)+'Crashworthy operating inputs'!B11*'Crashworthy operating inputs'!B12)+'Crashworthy operating inputs'!B16*'Crashworthy operating inputs'!B13+'Plan pricing and repair usage'!D6*'Crashworthy operating inputs'!B14</f>
        <v>2.9003333333333328</v>
      </c>
      <c r="F6" s="10">
        <f>'Plan pricing and repair usage'!B6-'Plan pricing and repair usage'!E6</f>
        <v>196.09966666666668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dimension ref="A1:B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Hosting start timing</t>
        </is>
      </c>
    </row>
    <row r="2" ht="20" customHeight="1">
      <c r="A2" t="inlineStr" s="2">
        <is>
          <t xml:space="preserve">Crashworthy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Hosting start month</t>
        </is>
      </c>
      <c r="B5" s="6">
        <f>3</f>
        <v>3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F5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13">
        <is>
          <t xml:space="preserve">Crashworthy operating inputs</t>
        </is>
      </c>
      <c r="B5" t="inlineStr" s="13">
        <is>
          <t xml:space="preserve">B17</t>
        </is>
      </c>
      <c r="C5" t="inlineStr" s="13">
        <is>
          <t xml:space="preserve">CW Plan month</t>
        </is>
      </c>
      <c r="D5" t="inlineStr" s="13">
        <is>
          <t xml:space="preserve"/>
        </is>
      </c>
      <c r="E5" t="inlineStr" s="13">
        <is>
          <t xml:space="preserve">Main Scenario</t>
        </is>
      </c>
      <c r="F5" t="inlineStr" s="13">
        <is>
          <t xml:space="preserve">It reads Date, which this workbook does not contain.</t>
        </is>
      </c>
    </row>
  </sheetData>
  <mergeCells count="2">
    <mergeCell ref="A1:F1"/>
    <mergeCell ref="A2:F2"/>
  </mergeCells>
</worksheet>
</file>